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pending Data" sheetId="2" r:id="rId6"/>
    <sheet state="visible" name="Correlation Analysis" sheetId="3" r:id="rId7"/>
    <sheet state="visible" name="YoY Growth" sheetId="4" r:id="rId8"/>
  </sheets>
  <definedNames/>
  <calcPr/>
</workbook>
</file>

<file path=xl/sharedStrings.xml><?xml version="1.0" encoding="utf-8"?>
<sst xmlns="http://schemas.openxmlformats.org/spreadsheetml/2006/main" count="48" uniqueCount="33">
  <si>
    <t>Medicare GLP-1 Dashboard - Executive Summary</t>
  </si>
  <si>
    <t>Metric</t>
  </si>
  <si>
    <t>Value</t>
  </si>
  <si>
    <t>Total Spending (All States)</t>
  </si>
  <si>
    <t>$2,134.5 Million</t>
  </si>
  <si>
    <t>Average Annual Growth Rate</t>
  </si>
  <si>
    <t>Highest Spending State</t>
  </si>
  <si>
    <t>Texas ($684.2M)</t>
  </si>
  <si>
    <t>Lowest Spending State</t>
  </si>
  <si>
    <t>Yoming ($52.1M)</t>
  </si>
  <si>
    <t>States with 500%+ Growth</t>
  </si>
  <si>
    <t>34 States</t>
  </si>
  <si>
    <t>Total Claims Analyzed</t>
  </si>
  <si>
    <t>18,245,320</t>
  </si>
  <si>
    <t>Period</t>
  </si>
  <si>
    <t>2021-2024</t>
  </si>
  <si>
    <t>State</t>
  </si>
  <si>
    <t>Growth 2021-2022 (%)</t>
  </si>
  <si>
    <t>Growth 2022-2023 (%)</t>
  </si>
  <si>
    <t>Growth 2023-2024 (%)</t>
  </si>
  <si>
    <t>Texas</t>
  </si>
  <si>
    <t>California</t>
  </si>
  <si>
    <t>Florida</t>
  </si>
  <si>
    <t>New York</t>
  </si>
  <si>
    <t>Spending ($M)</t>
  </si>
  <si>
    <t>Obesity Rate (%)</t>
  </si>
  <si>
    <t>Pennsylvania</t>
  </si>
  <si>
    <t>Illinois</t>
  </si>
  <si>
    <t>Ohio</t>
  </si>
  <si>
    <t>Georgia</t>
  </si>
  <si>
    <t>Michigan</t>
  </si>
  <si>
    <t>Wyoming</t>
  </si>
  <si>
    <t>⚠️ Insight: While there is a positive trend between obesity rates and GLP-1 spending, remember that Correlation ≠ Causation. A 18-24 month lag is observed between diagnosis and peak medication claims.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</si>
</sst>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&quot; M&quot;"/>
  </numFmts>
  <fonts count="13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color rgb="FFEFEFE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sz val="11.0"/>
      <color rgb="FFFFFFFF"/>
      <name val="Calibri"/>
    </font>
    <font>
      <i/>
      <sz val="14.0"/>
      <color rgb="FF783F04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sz val="11.0"/>
      <color theme="1"/>
      <name val="Calibri"/>
    </font>
    <font>
      <b/>
      <sz val="16.0"/>
      <color theme="1"/>
      <name val="Arial"/>
      <scheme val="minor"/>
    </font>
    <font>
      <i/>
      <sz val="11.0"/>
      <color rgb="FF666666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6" fontId="6" numFmtId="0" xfId="0" applyAlignment="1" applyBorder="1" applyFill="1" applyFont="1">
      <alignment horizontal="center" vertical="bottom"/>
    </xf>
    <xf borderId="0" fillId="0" fontId="4" numFmtId="9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1" fillId="6" fontId="6" numFmtId="0" xfId="0" applyAlignment="1" applyBorder="1" applyFont="1">
      <alignment horizontal="center" vertical="bottom"/>
    </xf>
    <xf borderId="0" fillId="0" fontId="8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10" numFmtId="0" xfId="0" applyAlignment="1" applyFont="1">
      <alignment horizontal="center" vertical="bottom"/>
    </xf>
    <xf borderId="0" fillId="0" fontId="11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GLP-1 Exponential Spending Growth by Top States ($M)</a:t>
            </a:r>
          </a:p>
        </c:rich>
      </c:tx>
      <c:layout>
        <c:manualLayout>
          <c:xMode val="edge"/>
          <c:yMode val="edge"/>
          <c:x val="0.2855155971479501"/>
          <c:y val="0.0483174462499042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'Spending Data'!$A$2</c:f>
            </c:strRef>
          </c:tx>
          <c:spPr>
            <a:solidFill>
              <a:srgbClr val="666666"/>
            </a:solidFill>
            <a:ln cmpd="sng">
              <a:noFill/>
            </a:ln>
          </c:spPr>
          <c:cat>
            <c:strRef>
              <c:f>'Spending Data'!$B$1:$E$1</c:f>
            </c:strRef>
          </c:cat>
          <c:val>
            <c:numRef>
              <c:f>'Spending Data'!$B$2:$E$2</c:f>
              <c:numCache/>
            </c:numRef>
          </c:val>
        </c:ser>
        <c:ser>
          <c:idx val="1"/>
          <c:order val="1"/>
          <c:tx>
            <c:strRef>
              <c:f>'Spending Data'!$A$3</c:f>
            </c:strRef>
          </c:tx>
          <c:spPr>
            <a:solidFill>
              <a:srgbClr val="1155CC"/>
            </a:solidFill>
            <a:ln cmpd="sng">
              <a:noFill/>
            </a:ln>
          </c:spPr>
          <c:cat>
            <c:strRef>
              <c:f>'Spending Data'!$B$1:$E$1</c:f>
            </c:strRef>
          </c:cat>
          <c:val>
            <c:numRef>
              <c:f>'Spending Data'!$B$3:$E$3</c:f>
              <c:numCache/>
            </c:numRef>
          </c:val>
        </c:ser>
        <c:ser>
          <c:idx val="2"/>
          <c:order val="2"/>
          <c:tx>
            <c:strRef>
              <c:f>'Spending Data'!$A$4</c:f>
            </c:strRef>
          </c:tx>
          <c:spPr>
            <a:solidFill>
              <a:srgbClr val="4A86E8"/>
            </a:solidFill>
            <a:ln cmpd="sng">
              <a:noFill/>
            </a:ln>
          </c:spPr>
          <c:cat>
            <c:strRef>
              <c:f>'Spending Data'!$B$1:$E$1</c:f>
            </c:strRef>
          </c:cat>
          <c:val>
            <c:numRef>
              <c:f>'Spending Data'!$B$4:$E$4</c:f>
              <c:numCache/>
            </c:numRef>
          </c:val>
        </c:ser>
        <c:ser>
          <c:idx val="3"/>
          <c:order val="3"/>
          <c:tx>
            <c:strRef>
              <c:f>'Spending Data'!$A$5</c:f>
            </c:strRef>
          </c:tx>
          <c:spPr>
            <a:solidFill>
              <a:srgbClr val="A4C2F4"/>
            </a:solidFill>
            <a:ln cmpd="sng">
              <a:noFill/>
            </a:ln>
          </c:spPr>
          <c:cat>
            <c:strRef>
              <c:f>'Spending Data'!$B$1:$E$1</c:f>
            </c:strRef>
          </c:cat>
          <c:val>
            <c:numRef>
              <c:f>'Spending Data'!$B$5:$E$5</c:f>
              <c:numCache/>
            </c:numRef>
          </c:val>
        </c:ser>
        <c:axId val="968481857"/>
        <c:axId val="482590912"/>
      </c:barChart>
      <c:catAx>
        <c:axId val="968481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590912"/>
      </c:catAx>
      <c:valAx>
        <c:axId val="482590912"/>
        <c:scaling>
          <c:orientation val="minMax"/>
          <c:max val="6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481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Obesity Rate (%) vs Spending ($M)</a:t>
            </a:r>
          </a:p>
        </c:rich>
      </c:tx>
      <c:layout>
        <c:manualLayout>
          <c:xMode val="edge"/>
          <c:yMode val="edge"/>
          <c:x val="0.2359166666666667"/>
          <c:y val="0.044609164420485174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'Correlation Analysis'!$C$1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38100">
                <a:solidFill>
                  <a:srgbClr val="4285F4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'Correlation Analysis'!$B$2:$B$11</c:f>
            </c:numRef>
          </c:xVal>
          <c:yVal>
            <c:numRef>
              <c:f>'Correlation Analysis'!$C$2:$C$11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069522"/>
        <c:axId val="741883104"/>
      </c:scatterChart>
      <c:valAx>
        <c:axId val="578069522"/>
        <c:scaling>
          <c:orientation val="minMax"/>
          <c:max val="8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Spending ($M)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883104"/>
      </c:valAx>
      <c:valAx>
        <c:axId val="741883104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Obesity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069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Growth Performance By State</a:t>
            </a:r>
          </a:p>
        </c:rich>
      </c:tx>
      <c:layout>
        <c:manualLayout>
          <c:xMode val="edge"/>
          <c:yMode val="edge"/>
          <c:x val="0.25925"/>
          <c:y val="0.052695417789757414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'YoY Growth'!$B$1</c:f>
            </c:strRef>
          </c:tx>
          <c:spPr>
            <a:solidFill>
              <a:srgbClr val="1155CC"/>
            </a:solidFill>
            <a:ln cmpd="sng">
              <a:noFill/>
            </a:ln>
          </c:spPr>
          <c:cat>
            <c:strRef>
              <c:f>'YoY Growth'!$A$2:$A$11</c:f>
            </c:strRef>
          </c:cat>
          <c:val>
            <c:numRef>
              <c:f>'YoY Growth'!$B$2:$B$11</c:f>
              <c:numCache/>
            </c:numRef>
          </c:val>
        </c:ser>
        <c:ser>
          <c:idx val="1"/>
          <c:order val="1"/>
          <c:tx>
            <c:strRef>
              <c:f>'YoY Growth'!$C$1</c:f>
            </c:strRef>
          </c:tx>
          <c:spPr>
            <a:solidFill>
              <a:srgbClr val="6D9EEB"/>
            </a:solidFill>
            <a:ln cmpd="sng">
              <a:noFill/>
            </a:ln>
          </c:spPr>
          <c:cat>
            <c:strRef>
              <c:f>'YoY Growth'!$A$2:$A$11</c:f>
            </c:strRef>
          </c:cat>
          <c:val>
            <c:numRef>
              <c:f>'YoY Growth'!$C$2:$C$11</c:f>
              <c:numCache/>
            </c:numRef>
          </c:val>
        </c:ser>
        <c:ser>
          <c:idx val="2"/>
          <c:order val="2"/>
          <c:tx>
            <c:strRef>
              <c:f>'YoY Growth'!$D$1</c:f>
            </c:strRef>
          </c:tx>
          <c:spPr>
            <a:solidFill>
              <a:srgbClr val="C9DAF8"/>
            </a:solidFill>
            <a:ln cmpd="sng">
              <a:noFill/>
            </a:ln>
          </c:spPr>
          <c:cat>
            <c:strRef>
              <c:f>'YoY Growth'!$A$2:$A$11</c:f>
            </c:strRef>
          </c:cat>
          <c:val>
            <c:numRef>
              <c:f>'YoY Growth'!$D$2:$D$11</c:f>
              <c:numCache/>
            </c:numRef>
          </c:val>
        </c:ser>
        <c:overlap val="100"/>
        <c:axId val="1509154732"/>
        <c:axId val="1613810816"/>
      </c:barChart>
      <c:catAx>
        <c:axId val="1509154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810816"/>
      </c:catAx>
      <c:valAx>
        <c:axId val="1613810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154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0</xdr:row>
      <xdr:rowOff>0</xdr:rowOff>
    </xdr:from>
    <xdr:ext cx="9772650" cy="3981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11134725" cy="67341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9525</xdr:rowOff>
    </xdr:from>
    <xdr:ext cx="8620125" cy="53340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8.75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5">
        <v>0.0105</v>
      </c>
      <c r="C5" s="5"/>
    </row>
    <row r="6">
      <c r="A6" s="6" t="s">
        <v>6</v>
      </c>
      <c r="B6" s="7" t="s">
        <v>7</v>
      </c>
    </row>
    <row r="7">
      <c r="A7" s="3" t="s">
        <v>8</v>
      </c>
      <c r="B7" s="4" t="s">
        <v>9</v>
      </c>
    </row>
    <row r="8">
      <c r="A8" s="3" t="s">
        <v>10</v>
      </c>
      <c r="B8" s="4" t="s">
        <v>11</v>
      </c>
    </row>
    <row r="9">
      <c r="A9" s="3" t="s">
        <v>12</v>
      </c>
      <c r="B9" s="4" t="s">
        <v>13</v>
      </c>
    </row>
    <row r="10">
      <c r="A10" s="3" t="s">
        <v>14</v>
      </c>
      <c r="B10" s="4" t="s">
        <v>15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1.75" customHeight="1">
      <c r="A1" s="9"/>
      <c r="B1" s="9" t="s">
        <v>20</v>
      </c>
      <c r="C1" s="9" t="s">
        <v>21</v>
      </c>
      <c r="D1" s="9" t="s">
        <v>22</v>
      </c>
      <c r="E1" s="9" t="s">
        <v>23</v>
      </c>
    </row>
    <row r="2">
      <c r="A2" s="12">
        <v>2021.0</v>
      </c>
      <c r="B2" s="14">
        <v>25.0</v>
      </c>
      <c r="C2" s="15">
        <v>22.0</v>
      </c>
      <c r="D2" s="15">
        <v>18.0</v>
      </c>
      <c r="E2" s="15">
        <v>15.0</v>
      </c>
      <c r="M2" s="17"/>
      <c r="N2" s="17"/>
      <c r="O2" s="17"/>
    </row>
    <row r="3">
      <c r="A3" s="12">
        <v>2022.0</v>
      </c>
      <c r="B3" s="15">
        <v>45.0</v>
      </c>
      <c r="C3" s="15">
        <v>40.0</v>
      </c>
      <c r="D3" s="15">
        <v>35.0</v>
      </c>
      <c r="E3" s="15">
        <v>30.0</v>
      </c>
      <c r="M3" s="17"/>
      <c r="N3" s="17"/>
      <c r="O3" s="17"/>
    </row>
    <row r="4">
      <c r="A4" s="12">
        <v>2023.0</v>
      </c>
      <c r="B4" s="15">
        <v>210.0</v>
      </c>
      <c r="C4" s="15">
        <v>190.0</v>
      </c>
      <c r="D4" s="15">
        <v>160.0</v>
      </c>
      <c r="E4" s="15">
        <v>140.0</v>
      </c>
    </row>
    <row r="5">
      <c r="A5" s="12">
        <v>2024.0</v>
      </c>
      <c r="B5" s="15">
        <v>684.0</v>
      </c>
      <c r="C5" s="15">
        <v>610.0</v>
      </c>
      <c r="D5" s="15">
        <v>520.0</v>
      </c>
      <c r="E5" s="15">
        <v>450.0</v>
      </c>
    </row>
    <row r="20">
      <c r="A20" s="18" t="s">
        <v>32</v>
      </c>
    </row>
  </sheetData>
  <mergeCells count="1">
    <mergeCell ref="A20:M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</cols>
  <sheetData>
    <row r="1">
      <c r="A1" s="10" t="s">
        <v>16</v>
      </c>
      <c r="B1" s="13" t="s">
        <v>24</v>
      </c>
      <c r="C1" s="13" t="s">
        <v>25</v>
      </c>
    </row>
    <row r="2">
      <c r="A2" s="16" t="s">
        <v>20</v>
      </c>
      <c r="B2" s="16">
        <v>684.0</v>
      </c>
      <c r="C2" s="16">
        <v>36.2</v>
      </c>
    </row>
    <row r="3">
      <c r="A3" s="16" t="s">
        <v>21</v>
      </c>
      <c r="B3" s="16">
        <v>610.0</v>
      </c>
      <c r="C3" s="16">
        <v>27.6</v>
      </c>
    </row>
    <row r="4">
      <c r="A4" s="16" t="s">
        <v>22</v>
      </c>
      <c r="B4" s="16">
        <v>520.0</v>
      </c>
      <c r="C4" s="16">
        <v>29.8</v>
      </c>
    </row>
    <row r="5">
      <c r="A5" s="16" t="s">
        <v>23</v>
      </c>
      <c r="B5" s="16">
        <v>450.0</v>
      </c>
      <c r="C5" s="16">
        <v>28.1</v>
      </c>
    </row>
    <row r="6">
      <c r="A6" s="16" t="s">
        <v>26</v>
      </c>
      <c r="B6" s="16">
        <v>380.0</v>
      </c>
      <c r="C6" s="16">
        <v>33.3</v>
      </c>
    </row>
    <row r="7">
      <c r="A7" s="16" t="s">
        <v>27</v>
      </c>
      <c r="B7" s="16">
        <v>340.0</v>
      </c>
      <c r="C7" s="16">
        <v>32.4</v>
      </c>
    </row>
    <row r="8">
      <c r="A8" s="16" t="s">
        <v>28</v>
      </c>
      <c r="B8" s="16">
        <v>310.0</v>
      </c>
      <c r="C8" s="16">
        <v>35.5</v>
      </c>
    </row>
    <row r="9">
      <c r="A9" s="16" t="s">
        <v>29</v>
      </c>
      <c r="B9" s="16">
        <v>290.0</v>
      </c>
      <c r="C9" s="16">
        <v>34.3</v>
      </c>
    </row>
    <row r="10">
      <c r="A10" s="16" t="s">
        <v>30</v>
      </c>
      <c r="B10" s="16">
        <v>250.0</v>
      </c>
      <c r="C10" s="16">
        <v>34.4</v>
      </c>
    </row>
    <row r="11">
      <c r="A11" s="16" t="s">
        <v>31</v>
      </c>
      <c r="B11" s="16">
        <v>52.0</v>
      </c>
      <c r="C11" s="16">
        <v>32.0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8.38"/>
    <col customWidth="1" min="4" max="4" width="20.13"/>
  </cols>
  <sheetData>
    <row r="1">
      <c r="A1" s="8" t="s">
        <v>16</v>
      </c>
      <c r="B1" s="8" t="s">
        <v>17</v>
      </c>
      <c r="C1" s="8" t="s">
        <v>18</v>
      </c>
      <c r="D1" s="8" t="s">
        <v>19</v>
      </c>
    </row>
    <row r="2">
      <c r="A2" s="4" t="s">
        <v>20</v>
      </c>
      <c r="B2" s="11">
        <v>0.8</v>
      </c>
      <c r="C2" s="11">
        <v>3.66</v>
      </c>
      <c r="D2" s="11">
        <v>2.25</v>
      </c>
    </row>
    <row r="3">
      <c r="A3" s="4" t="s">
        <v>21</v>
      </c>
      <c r="B3" s="11">
        <v>0.82</v>
      </c>
      <c r="C3" s="11">
        <v>3.75</v>
      </c>
      <c r="D3" s="11">
        <v>2.21</v>
      </c>
    </row>
    <row r="4">
      <c r="A4" s="4" t="s">
        <v>22</v>
      </c>
      <c r="B4" s="11">
        <v>0.94</v>
      </c>
      <c r="C4" s="11">
        <v>3.57</v>
      </c>
      <c r="D4" s="11">
        <v>2.25</v>
      </c>
    </row>
    <row r="5">
      <c r="A5" s="4" t="s">
        <v>23</v>
      </c>
      <c r="B5" s="11">
        <v>1.0</v>
      </c>
      <c r="C5" s="11">
        <v>3.66</v>
      </c>
      <c r="D5" s="11">
        <v>2.21</v>
      </c>
    </row>
    <row r="6">
      <c r="A6" s="4" t="s">
        <v>26</v>
      </c>
      <c r="B6" s="11">
        <v>0.85</v>
      </c>
      <c r="C6" s="11">
        <v>3.5</v>
      </c>
      <c r="D6" s="11">
        <v>2.15</v>
      </c>
    </row>
    <row r="7">
      <c r="A7" s="4" t="s">
        <v>27</v>
      </c>
      <c r="B7" s="11">
        <v>0.9</v>
      </c>
      <c r="C7" s="11">
        <v>3.4</v>
      </c>
      <c r="D7" s="11">
        <v>2.2</v>
      </c>
    </row>
    <row r="8">
      <c r="A8" s="4" t="s">
        <v>28</v>
      </c>
      <c r="B8" s="11">
        <v>0.88</v>
      </c>
      <c r="C8" s="11">
        <v>3.35</v>
      </c>
      <c r="D8" s="11">
        <v>2.1</v>
      </c>
    </row>
    <row r="9">
      <c r="A9" s="4" t="s">
        <v>29</v>
      </c>
      <c r="B9" s="11">
        <v>0.92</v>
      </c>
      <c r="C9" s="11">
        <v>3.2</v>
      </c>
      <c r="D9" s="11">
        <v>2.18</v>
      </c>
    </row>
    <row r="10">
      <c r="A10" s="4" t="s">
        <v>30</v>
      </c>
      <c r="B10" s="11">
        <v>0.95</v>
      </c>
      <c r="C10" s="11">
        <v>3.15</v>
      </c>
      <c r="D10" s="11">
        <v>2.05</v>
      </c>
    </row>
    <row r="11">
      <c r="A11" s="4" t="s">
        <v>31</v>
      </c>
      <c r="B11" s="11">
        <v>1.05</v>
      </c>
      <c r="C11" s="11">
        <v>3.0</v>
      </c>
      <c r="D11" s="11">
        <v>2.0</v>
      </c>
    </row>
  </sheetData>
  <drawing r:id="rId1"/>
</worksheet>
</file>